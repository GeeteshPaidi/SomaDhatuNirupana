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<sst xmlns="http://schemas.openxmlformats.org/spreadsheetml/2006/main" count="95" uniqueCount="49">
  <si>
    <t>Compound</t>
  </si>
  <si>
    <t>15a</t>
  </si>
  <si>
    <t>15b</t>
  </si>
  <si>
    <t>15c</t>
  </si>
  <si>
    <t>16a</t>
  </si>
  <si>
    <t>16b</t>
  </si>
  <si>
    <t>16c</t>
  </si>
  <si>
    <t>17a</t>
  </si>
  <si>
    <t>17b</t>
  </si>
  <si>
    <t>17c</t>
  </si>
  <si>
    <t>17d</t>
  </si>
  <si>
    <t>L16</t>
  </si>
  <si>
    <t>L20</t>
  </si>
  <si>
    <t>L24</t>
  </si>
  <si>
    <t>SiO₂</t>
  </si>
  <si>
    <t>TiO₂</t>
  </si>
  <si>
    <t>Al₂O₃</t>
  </si>
  <si>
    <t>Cr₂O₃</t>
  </si>
  <si>
    <t>FeO</t>
  </si>
  <si>
    <t>MnO</t>
  </si>
  <si>
    <t>MgO</t>
  </si>
  <si>
    <t>CaO</t>
  </si>
  <si>
    <t>Na₂O</t>
  </si>
  <si>
    <t>K₂O</t>
  </si>
  <si>
    <t>P₂O₅</t>
  </si>
  <si>
    <t>S</t>
  </si>
  <si>
    <t>Total</t>
  </si>
  <si>
    <t>Oxide</t>
  </si>
  <si>
    <t>Element</t>
  </si>
  <si>
    <t>Atomic Weight (Element)</t>
  </si>
  <si>
    <t>Molecular Weight (Oxide)</t>
  </si>
  <si>
    <t>Conversion Factor</t>
  </si>
  <si>
    <t>Si</t>
  </si>
  <si>
    <t>Ti</t>
  </si>
  <si>
    <t>Al</t>
  </si>
  <si>
    <t>Cr</t>
  </si>
  <si>
    <t>Fe</t>
  </si>
  <si>
    <t>Mn</t>
  </si>
  <si>
    <t>Mg</t>
  </si>
  <si>
    <t>Ca</t>
  </si>
  <si>
    <t>Na</t>
  </si>
  <si>
    <t>K</t>
  </si>
  <si>
    <t>P</t>
  </si>
  <si>
    <t>Element ratio</t>
  </si>
  <si>
    <t>Ti_Si</t>
  </si>
  <si>
    <t>Al_Si</t>
  </si>
  <si>
    <t>Fe_Si</t>
  </si>
  <si>
    <t>Mg_Si</t>
  </si>
  <si>
    <t>Ca_Si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</si>
</sst>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  <font>
      <b/>
      <color rgb="FFF7F8FC"/>
      <name val="System-ui"/>
    </font>
    <font>
      <color rgb="FFF7F8FC"/>
      <name val="System-ui"/>
    </font>
    <font>
      <color rgb="FFF7F8FC"/>
      <name val="Arial"/>
    </font>
    <font>
      <color rgb="FF8583F6"/>
      <name val="Ui-monospace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2E2E33"/>
        <bgColor rgb="FF2E2E33"/>
      </patternFill>
    </fill>
    <fill>
      <patternFill patternType="solid">
        <fgColor rgb="FF232326"/>
        <bgColor rgb="FF232326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Font="1"/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2" fontId="5" numFmtId="0" xfId="0" applyAlignment="1" applyFill="1" applyFont="1">
      <alignment horizontal="center" readingOrder="0"/>
    </xf>
    <xf borderId="0" fillId="3" fontId="6" numFmtId="0" xfId="0" applyAlignment="1" applyFill="1" applyFont="1">
      <alignment readingOrder="0"/>
    </xf>
    <xf borderId="0" fillId="3" fontId="7" numFmtId="0" xfId="0" applyAlignment="1" applyFont="1">
      <alignment readingOrder="0"/>
    </xf>
    <xf borderId="0" fillId="0" fontId="8" numFmtId="0" xfId="0" applyFont="1"/>
    <xf borderId="0" fillId="0" fontId="3" numFmtId="0" xfId="0" applyAlignment="1" applyFon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11.0</v>
      </c>
      <c r="C1" s="2">
        <v>12.0</v>
      </c>
      <c r="D1" s="2">
        <v>14.0</v>
      </c>
      <c r="E1" s="2" t="s">
        <v>1</v>
      </c>
      <c r="F1" s="2" t="s">
        <v>2</v>
      </c>
      <c r="G1" s="2" t="s">
        <v>3</v>
      </c>
      <c r="H1" s="2">
        <v>15.0</v>
      </c>
      <c r="I1" s="2" t="s">
        <v>4</v>
      </c>
      <c r="J1" s="2" t="s">
        <v>5</v>
      </c>
      <c r="K1" s="2" t="s">
        <v>6</v>
      </c>
      <c r="L1" s="2">
        <v>16.0</v>
      </c>
      <c r="M1" s="2" t="s">
        <v>7</v>
      </c>
      <c r="N1" s="2" t="s">
        <v>8</v>
      </c>
      <c r="O1" s="2" t="s">
        <v>9</v>
      </c>
      <c r="P1" s="2" t="s">
        <v>10</v>
      </c>
      <c r="Q1" s="2">
        <v>17.0</v>
      </c>
      <c r="R1" s="2" t="s">
        <v>11</v>
      </c>
      <c r="S1" s="2" t="s">
        <v>12</v>
      </c>
      <c r="T1" s="2" t="s">
        <v>13</v>
      </c>
      <c r="U1" s="3"/>
      <c r="V1" s="3"/>
      <c r="W1" s="3"/>
      <c r="X1" s="3"/>
      <c r="Y1" s="3"/>
      <c r="Z1" s="3"/>
    </row>
    <row r="2">
      <c r="A2" s="4" t="s">
        <v>14</v>
      </c>
      <c r="B2" s="4">
        <v>42.2</v>
      </c>
      <c r="C2" s="4">
        <v>46.3</v>
      </c>
      <c r="D2" s="4">
        <v>48.1</v>
      </c>
      <c r="E2" s="4">
        <v>46.7</v>
      </c>
      <c r="F2" s="4">
        <v>46.6</v>
      </c>
      <c r="G2" s="4">
        <v>47.1</v>
      </c>
      <c r="H2" s="4">
        <v>46.8</v>
      </c>
      <c r="I2" s="4">
        <v>45.0</v>
      </c>
      <c r="J2" s="4">
        <v>44.9</v>
      </c>
      <c r="K2" s="4">
        <v>45.1</v>
      </c>
      <c r="L2" s="4">
        <v>45.0</v>
      </c>
      <c r="M2" s="4">
        <v>40.6</v>
      </c>
      <c r="N2" s="4">
        <v>45.1</v>
      </c>
      <c r="O2" s="4">
        <v>43.5</v>
      </c>
      <c r="P2" s="4">
        <v>43.7</v>
      </c>
      <c r="Q2" s="4">
        <v>43.2</v>
      </c>
      <c r="R2" s="4">
        <v>41.7</v>
      </c>
      <c r="S2" s="4">
        <v>45.1</v>
      </c>
      <c r="T2" s="4">
        <v>43.9</v>
      </c>
      <c r="U2" s="3"/>
      <c r="V2" s="3"/>
      <c r="W2" s="3"/>
      <c r="X2" s="3"/>
      <c r="Y2" s="3"/>
      <c r="Z2" s="3"/>
    </row>
    <row r="3">
      <c r="A3" s="4" t="s">
        <v>15</v>
      </c>
      <c r="B3" s="4">
        <v>7.8</v>
      </c>
      <c r="C3" s="4">
        <v>3.0</v>
      </c>
      <c r="D3" s="4">
        <v>1.7</v>
      </c>
      <c r="E3" s="4">
        <v>1.7</v>
      </c>
      <c r="F3" s="4">
        <v>1.4</v>
      </c>
      <c r="G3" s="4">
        <v>1.0</v>
      </c>
      <c r="H3" s="4">
        <v>1.4</v>
      </c>
      <c r="I3" s="4">
        <v>0.56</v>
      </c>
      <c r="J3" s="4">
        <v>0.47</v>
      </c>
      <c r="K3" s="4">
        <v>0.6</v>
      </c>
      <c r="L3" s="4">
        <v>0.54</v>
      </c>
      <c r="M3" s="4">
        <v>8.4</v>
      </c>
      <c r="N3" s="4">
        <v>1.7</v>
      </c>
      <c r="O3" s="4">
        <v>3.4</v>
      </c>
      <c r="P3" s="4">
        <v>3.5</v>
      </c>
      <c r="Q3" s="4">
        <v>4.2</v>
      </c>
      <c r="R3" s="4">
        <v>3.4</v>
      </c>
      <c r="S3" s="4">
        <v>0.55</v>
      </c>
      <c r="T3" s="4">
        <v>1.3</v>
      </c>
      <c r="U3" s="3"/>
      <c r="V3" s="3"/>
      <c r="W3" s="3"/>
      <c r="X3" s="3"/>
      <c r="Y3" s="3"/>
      <c r="Z3" s="3"/>
    </row>
    <row r="4">
      <c r="A4" s="4" t="s">
        <v>16</v>
      </c>
      <c r="B4" s="4">
        <v>13.6</v>
      </c>
      <c r="C4" s="4">
        <v>12.9</v>
      </c>
      <c r="D4" s="4">
        <v>17.4</v>
      </c>
      <c r="E4" s="4">
        <v>13.2</v>
      </c>
      <c r="F4" s="4">
        <v>17.1</v>
      </c>
      <c r="G4" s="4">
        <v>13.4</v>
      </c>
      <c r="H4" s="4">
        <v>14.6</v>
      </c>
      <c r="I4" s="4">
        <v>27.1</v>
      </c>
      <c r="J4" s="4">
        <v>28.0</v>
      </c>
      <c r="K4" s="4">
        <v>26.8</v>
      </c>
      <c r="L4" s="4">
        <v>27.3</v>
      </c>
      <c r="M4" s="4">
        <v>12.0</v>
      </c>
      <c r="N4" s="4">
        <v>20.7</v>
      </c>
      <c r="O4" s="4">
        <v>18.0</v>
      </c>
      <c r="P4" s="4">
        <v>17.4</v>
      </c>
      <c r="Q4" s="4">
        <v>17.1</v>
      </c>
      <c r="R4" s="4">
        <v>15.3</v>
      </c>
      <c r="S4" s="4">
        <v>22.3</v>
      </c>
      <c r="T4" s="4">
        <v>12.5</v>
      </c>
      <c r="U4" s="3"/>
      <c r="V4" s="3"/>
      <c r="W4" s="3"/>
      <c r="X4" s="3"/>
      <c r="Y4" s="3"/>
      <c r="Z4" s="3"/>
    </row>
    <row r="5">
      <c r="A5" s="4" t="s">
        <v>17</v>
      </c>
      <c r="B5" s="4">
        <v>0.3</v>
      </c>
      <c r="C5" s="4">
        <v>0.34</v>
      </c>
      <c r="D5" s="4">
        <v>0.23</v>
      </c>
      <c r="E5" s="4">
        <v>0.44</v>
      </c>
      <c r="F5" s="4">
        <v>0.27</v>
      </c>
      <c r="G5" s="4">
        <v>0.37</v>
      </c>
      <c r="H5" s="4">
        <v>0.36</v>
      </c>
      <c r="I5" s="4">
        <v>0.34</v>
      </c>
      <c r="J5" s="4">
        <v>0.54</v>
      </c>
      <c r="K5" s="4">
        <v>0.11</v>
      </c>
      <c r="L5" s="4">
        <v>0.33</v>
      </c>
      <c r="M5" s="4">
        <v>0.45</v>
      </c>
      <c r="N5" s="4">
        <v>0.25</v>
      </c>
      <c r="O5" s="4">
        <v>0.28</v>
      </c>
      <c r="P5" s="4">
        <v>0.32</v>
      </c>
      <c r="Q5" s="4">
        <v>0.33</v>
      </c>
      <c r="R5" s="4">
        <v>0.28</v>
      </c>
      <c r="S5" s="5"/>
      <c r="T5" s="4">
        <v>0.32</v>
      </c>
      <c r="U5" s="3"/>
      <c r="V5" s="3"/>
      <c r="W5" s="3"/>
      <c r="X5" s="3"/>
      <c r="Y5" s="3"/>
      <c r="Z5" s="3"/>
    </row>
    <row r="6">
      <c r="A6" s="4" t="s">
        <v>18</v>
      </c>
      <c r="B6" s="4">
        <v>15.3</v>
      </c>
      <c r="C6" s="4">
        <v>15.1</v>
      </c>
      <c r="D6" s="4">
        <v>10.4</v>
      </c>
      <c r="E6" s="4">
        <v>16.3</v>
      </c>
      <c r="F6" s="4">
        <v>11.7</v>
      </c>
      <c r="G6" s="4">
        <v>14.9</v>
      </c>
      <c r="H6" s="4">
        <v>14.3</v>
      </c>
      <c r="I6" s="4">
        <v>5.2</v>
      </c>
      <c r="J6" s="4">
        <v>4.7</v>
      </c>
      <c r="K6" s="4">
        <v>5.4</v>
      </c>
      <c r="L6" s="4">
        <v>5.1</v>
      </c>
      <c r="M6" s="4">
        <v>16.7</v>
      </c>
      <c r="N6" s="4">
        <v>8.8</v>
      </c>
      <c r="O6" s="4">
        <v>10.9</v>
      </c>
      <c r="P6" s="4">
        <v>12.2</v>
      </c>
      <c r="Q6" s="4">
        <v>12.2</v>
      </c>
      <c r="R6" s="4">
        <v>16.7</v>
      </c>
      <c r="S6" s="4">
        <v>7.0</v>
      </c>
      <c r="T6" s="4">
        <v>19.8</v>
      </c>
      <c r="U6" s="3"/>
      <c r="V6" s="3"/>
      <c r="W6" s="3"/>
      <c r="X6" s="3"/>
      <c r="Y6" s="3"/>
      <c r="Z6" s="3"/>
    </row>
    <row r="7">
      <c r="A7" s="4" t="s">
        <v>19</v>
      </c>
      <c r="B7" s="4">
        <v>0.2</v>
      </c>
      <c r="C7" s="4">
        <v>0.22</v>
      </c>
      <c r="D7" s="4">
        <v>0.14</v>
      </c>
      <c r="E7" s="4">
        <v>0.21</v>
      </c>
      <c r="F7" s="4">
        <v>0.16</v>
      </c>
      <c r="G7" s="4">
        <v>0.19</v>
      </c>
      <c r="H7" s="4">
        <v>0.19</v>
      </c>
      <c r="I7" s="4">
        <v>0.41</v>
      </c>
      <c r="J7" s="4">
        <v>0.27</v>
      </c>
      <c r="K7" s="4">
        <v>0.22</v>
      </c>
      <c r="L7" s="4">
        <v>0.3</v>
      </c>
      <c r="M7" s="4">
        <v>0.23</v>
      </c>
      <c r="N7" s="4">
        <v>0.12</v>
      </c>
      <c r="O7" s="4">
        <v>0.16</v>
      </c>
      <c r="P7" s="4">
        <v>0.16</v>
      </c>
      <c r="Q7" s="4">
        <v>0.17</v>
      </c>
      <c r="R7" s="4">
        <v>0.23</v>
      </c>
      <c r="S7" s="4">
        <v>0.13</v>
      </c>
      <c r="T7" s="4">
        <v>0.25</v>
      </c>
      <c r="U7" s="3"/>
      <c r="V7" s="3"/>
      <c r="W7" s="3"/>
      <c r="X7" s="3"/>
      <c r="Y7" s="3"/>
      <c r="Z7" s="3"/>
    </row>
    <row r="8">
      <c r="A8" s="4" t="s">
        <v>20</v>
      </c>
      <c r="B8" s="4">
        <v>7.8</v>
      </c>
      <c r="C8" s="4">
        <v>9.3</v>
      </c>
      <c r="D8" s="4">
        <v>9.4</v>
      </c>
      <c r="E8" s="4">
        <v>10.9</v>
      </c>
      <c r="F8" s="4">
        <v>10.5</v>
      </c>
      <c r="G8" s="4">
        <v>13.0</v>
      </c>
      <c r="H8" s="4">
        <v>11.5</v>
      </c>
      <c r="I8" s="4">
        <v>5.8</v>
      </c>
      <c r="J8" s="4">
        <v>5.6</v>
      </c>
      <c r="K8" s="4">
        <v>5.7</v>
      </c>
      <c r="L8" s="4">
        <v>5.7</v>
      </c>
      <c r="M8" s="4">
        <v>9.9</v>
      </c>
      <c r="N8" s="4">
        <v>9.8</v>
      </c>
      <c r="O8" s="4">
        <v>10.7</v>
      </c>
      <c r="P8" s="4">
        <v>11.1</v>
      </c>
      <c r="Q8" s="4">
        <v>10.4</v>
      </c>
      <c r="R8" s="4">
        <v>8.8</v>
      </c>
      <c r="S8" s="4">
        <v>9.8</v>
      </c>
      <c r="T8" s="4">
        <v>9.4</v>
      </c>
      <c r="U8" s="3"/>
      <c r="V8" s="3"/>
      <c r="W8" s="3"/>
      <c r="X8" s="3"/>
      <c r="Y8" s="3"/>
      <c r="Z8" s="3"/>
    </row>
    <row r="9">
      <c r="A9" s="4" t="s">
        <v>21</v>
      </c>
      <c r="B9" s="4">
        <v>11.9</v>
      </c>
      <c r="C9" s="4">
        <v>10.7</v>
      </c>
      <c r="D9" s="4">
        <v>10.7</v>
      </c>
      <c r="E9" s="4">
        <v>10.4</v>
      </c>
      <c r="F9" s="4">
        <v>11.6</v>
      </c>
      <c r="G9" s="4">
        <v>10.3</v>
      </c>
      <c r="H9" s="4">
        <v>10.8</v>
      </c>
      <c r="I9" s="4">
        <v>15.8</v>
      </c>
      <c r="J9" s="4">
        <v>15.7</v>
      </c>
      <c r="K9" s="4">
        <v>15.6</v>
      </c>
      <c r="L9" s="4">
        <v>15.7</v>
      </c>
      <c r="M9" s="4">
        <v>10.9</v>
      </c>
      <c r="N9" s="4">
        <v>12.8</v>
      </c>
      <c r="O9" s="4">
        <v>12.12</v>
      </c>
      <c r="P9" s="4">
        <v>11.3</v>
      </c>
      <c r="Q9" s="4">
        <v>11.8</v>
      </c>
      <c r="R9" s="4">
        <v>12.5</v>
      </c>
      <c r="S9" s="4">
        <v>15.1</v>
      </c>
      <c r="T9" s="4">
        <v>12.3</v>
      </c>
      <c r="U9" s="3"/>
      <c r="V9" s="3"/>
      <c r="W9" s="3"/>
      <c r="X9" s="3"/>
      <c r="Y9" s="3"/>
      <c r="Z9" s="3"/>
    </row>
    <row r="10">
      <c r="A10" s="4" t="s">
        <v>22</v>
      </c>
      <c r="B10" s="4">
        <v>0.47</v>
      </c>
      <c r="C10" s="4">
        <v>0.54</v>
      </c>
      <c r="D10" s="4">
        <v>0.7</v>
      </c>
      <c r="E10" s="4">
        <v>0.38</v>
      </c>
      <c r="F10" s="4">
        <v>0.45</v>
      </c>
      <c r="G10" s="4">
        <v>0.33</v>
      </c>
      <c r="H10" s="4">
        <v>0.39</v>
      </c>
      <c r="I10" s="4">
        <v>0.46</v>
      </c>
      <c r="J10" s="4">
        <v>0.5</v>
      </c>
      <c r="K10" s="4">
        <v>0.43</v>
      </c>
      <c r="L10" s="4">
        <v>0.46</v>
      </c>
      <c r="M10" s="4">
        <v>0.35</v>
      </c>
      <c r="N10" s="4">
        <v>0.42</v>
      </c>
      <c r="O10" s="4">
        <v>0.42</v>
      </c>
      <c r="P10" s="4">
        <v>0.42</v>
      </c>
      <c r="Q10" s="4">
        <v>0.4</v>
      </c>
      <c r="R10" s="4">
        <v>0.34</v>
      </c>
      <c r="S10" s="4">
        <v>0.5</v>
      </c>
      <c r="T10" s="4">
        <v>0.31</v>
      </c>
      <c r="U10" s="3"/>
      <c r="V10" s="3"/>
      <c r="W10" s="3"/>
      <c r="X10" s="3"/>
      <c r="Y10" s="3"/>
      <c r="Z10" s="3"/>
    </row>
    <row r="11">
      <c r="A11" s="4" t="s">
        <v>23</v>
      </c>
      <c r="B11" s="4">
        <v>0.16</v>
      </c>
      <c r="C11" s="4">
        <v>0.31</v>
      </c>
      <c r="D11" s="4">
        <v>0.55</v>
      </c>
      <c r="E11" s="4">
        <v>0.23</v>
      </c>
      <c r="F11" s="4">
        <v>0.2</v>
      </c>
      <c r="G11" s="4">
        <v>0.19</v>
      </c>
      <c r="H11" s="4">
        <v>0.21</v>
      </c>
      <c r="I11" s="4">
        <v>0.13</v>
      </c>
      <c r="J11" s="4">
        <v>0.23</v>
      </c>
      <c r="K11" s="4">
        <v>0.14</v>
      </c>
      <c r="L11" s="4">
        <v>0.17</v>
      </c>
      <c r="M11" s="4">
        <v>0.16</v>
      </c>
      <c r="N11" s="4">
        <v>0.16</v>
      </c>
      <c r="O11" s="4">
        <v>0.12</v>
      </c>
      <c r="P11" s="4">
        <v>0.09</v>
      </c>
      <c r="Q11" s="4">
        <v>0.13</v>
      </c>
      <c r="R11" s="4">
        <v>0.1</v>
      </c>
      <c r="S11" s="4">
        <v>0.1</v>
      </c>
      <c r="T11" s="4">
        <v>0.04</v>
      </c>
      <c r="U11" s="3"/>
      <c r="V11" s="3"/>
      <c r="W11" s="3"/>
      <c r="X11" s="3"/>
      <c r="Y11" s="3"/>
      <c r="Z11" s="3"/>
    </row>
    <row r="12">
      <c r="A12" s="4" t="s">
        <v>24</v>
      </c>
      <c r="B12" s="4">
        <v>0.05</v>
      </c>
      <c r="C12" s="4">
        <v>0.4</v>
      </c>
      <c r="D12" s="4">
        <v>0.51</v>
      </c>
      <c r="E12" s="4">
        <v>0.16</v>
      </c>
      <c r="F12" s="4">
        <v>0.19</v>
      </c>
      <c r="G12" s="4">
        <v>0.19</v>
      </c>
      <c r="H12" s="4">
        <v>0.18</v>
      </c>
      <c r="I12" s="4">
        <v>0.13</v>
      </c>
      <c r="J12" s="4">
        <v>0.1</v>
      </c>
      <c r="K12" s="4">
        <v>0.1</v>
      </c>
      <c r="L12" s="4">
        <v>0.11</v>
      </c>
      <c r="M12" s="4">
        <v>0.14</v>
      </c>
      <c r="N12" s="4">
        <v>0.15</v>
      </c>
      <c r="O12" s="4">
        <v>0.09</v>
      </c>
      <c r="P12" s="4">
        <v>0.08</v>
      </c>
      <c r="Q12" s="4">
        <v>0.12</v>
      </c>
      <c r="R12" s="4">
        <v>0.12</v>
      </c>
      <c r="S12" s="4">
        <v>0.16</v>
      </c>
      <c r="T12" s="4">
        <v>0.11</v>
      </c>
      <c r="U12" s="3"/>
      <c r="V12" s="3"/>
      <c r="W12" s="3"/>
      <c r="X12" s="3"/>
      <c r="Y12" s="3"/>
      <c r="Z12" s="3"/>
    </row>
    <row r="13">
      <c r="A13" s="4" t="s">
        <v>25</v>
      </c>
      <c r="B13" s="4">
        <v>0.12</v>
      </c>
      <c r="C13" s="5"/>
      <c r="D13" s="6"/>
      <c r="E13" s="4">
        <v>0.07</v>
      </c>
      <c r="F13" s="4">
        <v>0.08</v>
      </c>
      <c r="G13" s="4">
        <v>0.04</v>
      </c>
      <c r="H13" s="4">
        <v>0.06</v>
      </c>
      <c r="I13" s="4">
        <v>0.07</v>
      </c>
      <c r="J13" s="4">
        <v>0.05</v>
      </c>
      <c r="K13" s="4">
        <v>0.09</v>
      </c>
      <c r="L13" s="4">
        <v>0.07</v>
      </c>
      <c r="M13" s="4">
        <v>0.12</v>
      </c>
      <c r="N13" s="4">
        <v>0.09</v>
      </c>
      <c r="O13" s="4">
        <v>0.07</v>
      </c>
      <c r="P13" s="4">
        <v>0.09</v>
      </c>
      <c r="Q13" s="4">
        <v>0.09</v>
      </c>
      <c r="R13" s="4">
        <v>0.21</v>
      </c>
      <c r="S13" s="4">
        <v>0.08</v>
      </c>
      <c r="T13" s="4">
        <v>0.14</v>
      </c>
      <c r="U13" s="3"/>
      <c r="V13" s="3"/>
      <c r="W13" s="3"/>
      <c r="X13" s="3"/>
      <c r="Y13" s="3"/>
      <c r="Z13" s="3"/>
    </row>
    <row r="14">
      <c r="A14" s="4" t="s">
        <v>26</v>
      </c>
      <c r="B14" s="4">
        <v>99.9</v>
      </c>
      <c r="C14" s="4">
        <v>99.6</v>
      </c>
      <c r="D14" s="4">
        <v>99.8</v>
      </c>
      <c r="E14" s="4">
        <v>100.6</v>
      </c>
      <c r="F14" s="4">
        <v>100.2</v>
      </c>
      <c r="G14" s="4">
        <v>100.9</v>
      </c>
      <c r="H14" s="4">
        <v>100.8</v>
      </c>
      <c r="I14" s="4">
        <v>100.9</v>
      </c>
      <c r="J14" s="4">
        <v>100.9</v>
      </c>
      <c r="K14" s="4">
        <v>100.4</v>
      </c>
      <c r="L14" s="4">
        <v>100.8</v>
      </c>
      <c r="M14" s="4">
        <v>100.1</v>
      </c>
      <c r="N14" s="4">
        <v>100.0</v>
      </c>
      <c r="O14" s="4">
        <v>99.8</v>
      </c>
      <c r="P14" s="4">
        <v>99.9</v>
      </c>
      <c r="Q14" s="4">
        <v>100.5</v>
      </c>
      <c r="R14" s="4">
        <v>99.7</v>
      </c>
      <c r="S14" s="4">
        <v>100.8</v>
      </c>
      <c r="T14" s="4">
        <v>100.4</v>
      </c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7" t="s">
        <v>27</v>
      </c>
      <c r="B17" s="7" t="s">
        <v>28</v>
      </c>
      <c r="C17" s="7" t="s">
        <v>29</v>
      </c>
      <c r="D17" s="7" t="s">
        <v>30</v>
      </c>
      <c r="E17" s="7" t="s">
        <v>31</v>
      </c>
      <c r="F17" s="7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8" t="s">
        <v>14</v>
      </c>
      <c r="B18" s="8" t="s">
        <v>32</v>
      </c>
      <c r="C18" s="8">
        <v>28.0855</v>
      </c>
      <c r="D18" s="8">
        <v>60.0843</v>
      </c>
      <c r="E18" s="9">
        <v>0.4674</v>
      </c>
      <c r="F18" s="10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8" t="s">
        <v>15</v>
      </c>
      <c r="B19" s="8" t="s">
        <v>33</v>
      </c>
      <c r="C19" s="8">
        <v>47.867</v>
      </c>
      <c r="D19" s="8">
        <v>79.8658</v>
      </c>
      <c r="E19" s="8">
        <v>0.5994</v>
      </c>
      <c r="F19" s="10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8" t="s">
        <v>16</v>
      </c>
      <c r="B20" s="8" t="s">
        <v>34</v>
      </c>
      <c r="C20" s="8">
        <v>26.9815</v>
      </c>
      <c r="D20" s="8">
        <v>101.9613</v>
      </c>
      <c r="E20" s="9">
        <v>0.5293</v>
      </c>
      <c r="F20" s="10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8" t="s">
        <v>17</v>
      </c>
      <c r="B21" s="8" t="s">
        <v>35</v>
      </c>
      <c r="C21" s="8">
        <v>51.9961</v>
      </c>
      <c r="D21" s="8">
        <v>151.9904</v>
      </c>
      <c r="E21" s="8">
        <v>0.6842</v>
      </c>
      <c r="F21" s="10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8" t="s">
        <v>18</v>
      </c>
      <c r="B22" s="8" t="s">
        <v>36</v>
      </c>
      <c r="C22" s="8">
        <v>55.845</v>
      </c>
      <c r="D22" s="8">
        <v>71.8444</v>
      </c>
      <c r="E22" s="9">
        <v>0.7773</v>
      </c>
      <c r="F22" s="10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8" t="s">
        <v>19</v>
      </c>
      <c r="B23" s="8" t="s">
        <v>37</v>
      </c>
      <c r="C23" s="8">
        <v>54.938</v>
      </c>
      <c r="D23" s="8">
        <v>70.9374</v>
      </c>
      <c r="E23" s="8">
        <v>0.7745</v>
      </c>
      <c r="F23" s="10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8" t="s">
        <v>20</v>
      </c>
      <c r="B24" s="8" t="s">
        <v>38</v>
      </c>
      <c r="C24" s="8">
        <v>24.305</v>
      </c>
      <c r="D24" s="8">
        <v>40.3044</v>
      </c>
      <c r="E24" s="9">
        <v>0.603</v>
      </c>
      <c r="F24" s="10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8" t="s">
        <v>21</v>
      </c>
      <c r="B25" s="8" t="s">
        <v>39</v>
      </c>
      <c r="C25" s="8">
        <v>40.078</v>
      </c>
      <c r="D25" s="8">
        <v>56.0774</v>
      </c>
      <c r="E25" s="9">
        <v>0.7147</v>
      </c>
      <c r="F25" s="10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8" t="s">
        <v>22</v>
      </c>
      <c r="B26" s="8" t="s">
        <v>40</v>
      </c>
      <c r="C26" s="8">
        <v>22.9897</v>
      </c>
      <c r="D26" s="8">
        <v>61.9789</v>
      </c>
      <c r="E26" s="8">
        <v>0.7419</v>
      </c>
      <c r="F26" s="10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8" t="s">
        <v>23</v>
      </c>
      <c r="B27" s="8" t="s">
        <v>41</v>
      </c>
      <c r="C27" s="8">
        <v>39.0983</v>
      </c>
      <c r="D27" s="8">
        <v>94.196</v>
      </c>
      <c r="E27" s="8">
        <v>0.8301</v>
      </c>
      <c r="F27" s="10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8" t="s">
        <v>24</v>
      </c>
      <c r="B28" s="8" t="s">
        <v>42</v>
      </c>
      <c r="C28" s="8">
        <v>30.9738</v>
      </c>
      <c r="D28" s="8">
        <v>141.9445</v>
      </c>
      <c r="E28" s="8">
        <v>0.4364</v>
      </c>
      <c r="F28" s="10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8" t="s">
        <v>25</v>
      </c>
      <c r="B29" s="8" t="s">
        <v>25</v>
      </c>
      <c r="C29" s="8">
        <v>32.065</v>
      </c>
      <c r="D29" s="8">
        <v>32.065</v>
      </c>
      <c r="E29" s="8">
        <v>1.0</v>
      </c>
      <c r="F29" s="10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" t="s">
        <v>28</v>
      </c>
      <c r="B32" s="2">
        <v>11.0</v>
      </c>
      <c r="C32" s="2">
        <v>12.0</v>
      </c>
      <c r="D32" s="2">
        <v>14.0</v>
      </c>
      <c r="E32" s="2" t="s">
        <v>1</v>
      </c>
      <c r="F32" s="2" t="s">
        <v>2</v>
      </c>
      <c r="G32" s="2" t="s">
        <v>3</v>
      </c>
      <c r="H32" s="2">
        <v>15.0</v>
      </c>
      <c r="I32" s="2" t="s">
        <v>4</v>
      </c>
      <c r="J32" s="2" t="s">
        <v>5</v>
      </c>
      <c r="K32" s="2" t="s">
        <v>6</v>
      </c>
      <c r="L32" s="2">
        <v>16.0</v>
      </c>
      <c r="M32" s="2" t="s">
        <v>7</v>
      </c>
      <c r="N32" s="2" t="s">
        <v>8</v>
      </c>
      <c r="O32" s="2" t="s">
        <v>9</v>
      </c>
      <c r="P32" s="2" t="s">
        <v>10</v>
      </c>
      <c r="Q32" s="2">
        <v>17.0</v>
      </c>
      <c r="R32" s="2" t="s">
        <v>11</v>
      </c>
      <c r="S32" s="2" t="s">
        <v>12</v>
      </c>
      <c r="T32" s="2" t="s">
        <v>13</v>
      </c>
      <c r="U32" s="3"/>
      <c r="V32" s="3"/>
      <c r="W32" s="3"/>
      <c r="X32" s="3"/>
      <c r="Y32" s="3"/>
      <c r="Z32" s="3"/>
    </row>
    <row r="33">
      <c r="A33" s="11" t="s">
        <v>33</v>
      </c>
      <c r="B33" s="3">
        <f t="shared" ref="B33:T33" si="1">0.5994*B3</f>
        <v>4.67532</v>
      </c>
      <c r="C33" s="3">
        <f t="shared" si="1"/>
        <v>1.7982</v>
      </c>
      <c r="D33" s="3">
        <f t="shared" si="1"/>
        <v>1.01898</v>
      </c>
      <c r="E33" s="3">
        <f t="shared" si="1"/>
        <v>1.01898</v>
      </c>
      <c r="F33" s="3">
        <f t="shared" si="1"/>
        <v>0.83916</v>
      </c>
      <c r="G33" s="3">
        <f t="shared" si="1"/>
        <v>0.5994</v>
      </c>
      <c r="H33" s="3">
        <f t="shared" si="1"/>
        <v>0.83916</v>
      </c>
      <c r="I33" s="3">
        <f t="shared" si="1"/>
        <v>0.335664</v>
      </c>
      <c r="J33" s="3">
        <f t="shared" si="1"/>
        <v>0.281718</v>
      </c>
      <c r="K33" s="3">
        <f t="shared" si="1"/>
        <v>0.35964</v>
      </c>
      <c r="L33" s="3">
        <f t="shared" si="1"/>
        <v>0.323676</v>
      </c>
      <c r="M33" s="3">
        <f t="shared" si="1"/>
        <v>5.03496</v>
      </c>
      <c r="N33" s="3">
        <f t="shared" si="1"/>
        <v>1.01898</v>
      </c>
      <c r="O33" s="3">
        <f t="shared" si="1"/>
        <v>2.03796</v>
      </c>
      <c r="P33" s="3">
        <f t="shared" si="1"/>
        <v>2.0979</v>
      </c>
      <c r="Q33" s="3">
        <f t="shared" si="1"/>
        <v>2.51748</v>
      </c>
      <c r="R33" s="3">
        <f t="shared" si="1"/>
        <v>2.03796</v>
      </c>
      <c r="S33" s="3">
        <f t="shared" si="1"/>
        <v>0.32967</v>
      </c>
      <c r="T33" s="3">
        <f t="shared" si="1"/>
        <v>0.77922</v>
      </c>
      <c r="U33" s="3"/>
      <c r="V33" s="3"/>
      <c r="W33" s="3"/>
      <c r="X33" s="3"/>
      <c r="Y33" s="3"/>
      <c r="Z33" s="3"/>
    </row>
    <row r="34">
      <c r="A34" s="11" t="s">
        <v>34</v>
      </c>
      <c r="B34" s="3">
        <f t="shared" ref="B34:T34" si="2">0.5293*B4</f>
        <v>7.19848</v>
      </c>
      <c r="C34" s="3">
        <f t="shared" si="2"/>
        <v>6.82797</v>
      </c>
      <c r="D34" s="3">
        <f t="shared" si="2"/>
        <v>9.20982</v>
      </c>
      <c r="E34" s="3">
        <f t="shared" si="2"/>
        <v>6.98676</v>
      </c>
      <c r="F34" s="3">
        <f t="shared" si="2"/>
        <v>9.05103</v>
      </c>
      <c r="G34" s="3">
        <f t="shared" si="2"/>
        <v>7.09262</v>
      </c>
      <c r="H34" s="3">
        <f t="shared" si="2"/>
        <v>7.72778</v>
      </c>
      <c r="I34" s="3">
        <f t="shared" si="2"/>
        <v>14.34403</v>
      </c>
      <c r="J34" s="3">
        <f t="shared" si="2"/>
        <v>14.8204</v>
      </c>
      <c r="K34" s="3">
        <f t="shared" si="2"/>
        <v>14.18524</v>
      </c>
      <c r="L34" s="3">
        <f t="shared" si="2"/>
        <v>14.44989</v>
      </c>
      <c r="M34" s="3">
        <f t="shared" si="2"/>
        <v>6.3516</v>
      </c>
      <c r="N34" s="3">
        <f t="shared" si="2"/>
        <v>10.95651</v>
      </c>
      <c r="O34" s="3">
        <f t="shared" si="2"/>
        <v>9.5274</v>
      </c>
      <c r="P34" s="3">
        <f t="shared" si="2"/>
        <v>9.20982</v>
      </c>
      <c r="Q34" s="3">
        <f t="shared" si="2"/>
        <v>9.05103</v>
      </c>
      <c r="R34" s="3">
        <f t="shared" si="2"/>
        <v>8.09829</v>
      </c>
      <c r="S34" s="3">
        <f t="shared" si="2"/>
        <v>11.80339</v>
      </c>
      <c r="T34" s="3">
        <f t="shared" si="2"/>
        <v>6.61625</v>
      </c>
      <c r="U34" s="3"/>
      <c r="V34" s="3"/>
      <c r="W34" s="3"/>
      <c r="X34" s="3"/>
      <c r="Y34" s="3"/>
      <c r="Z34" s="3"/>
    </row>
    <row r="35">
      <c r="A35" s="11" t="s">
        <v>36</v>
      </c>
      <c r="B35" s="3">
        <f t="shared" ref="B35:T35" si="3">0.7773*B6</f>
        <v>11.89269</v>
      </c>
      <c r="C35" s="3">
        <f t="shared" si="3"/>
        <v>11.73723</v>
      </c>
      <c r="D35" s="3">
        <f t="shared" si="3"/>
        <v>8.08392</v>
      </c>
      <c r="E35" s="3">
        <f t="shared" si="3"/>
        <v>12.66999</v>
      </c>
      <c r="F35" s="3">
        <f t="shared" si="3"/>
        <v>9.09441</v>
      </c>
      <c r="G35" s="3">
        <f t="shared" si="3"/>
        <v>11.58177</v>
      </c>
      <c r="H35" s="3">
        <f t="shared" si="3"/>
        <v>11.11539</v>
      </c>
      <c r="I35" s="3">
        <f t="shared" si="3"/>
        <v>4.04196</v>
      </c>
      <c r="J35" s="3">
        <f t="shared" si="3"/>
        <v>3.65331</v>
      </c>
      <c r="K35" s="3">
        <f t="shared" si="3"/>
        <v>4.19742</v>
      </c>
      <c r="L35" s="3">
        <f t="shared" si="3"/>
        <v>3.96423</v>
      </c>
      <c r="M35" s="3">
        <f t="shared" si="3"/>
        <v>12.98091</v>
      </c>
      <c r="N35" s="3">
        <f t="shared" si="3"/>
        <v>6.84024</v>
      </c>
      <c r="O35" s="3">
        <f t="shared" si="3"/>
        <v>8.47257</v>
      </c>
      <c r="P35" s="3">
        <f t="shared" si="3"/>
        <v>9.48306</v>
      </c>
      <c r="Q35" s="3">
        <f t="shared" si="3"/>
        <v>9.48306</v>
      </c>
      <c r="R35" s="3">
        <f t="shared" si="3"/>
        <v>12.98091</v>
      </c>
      <c r="S35" s="3">
        <f t="shared" si="3"/>
        <v>5.4411</v>
      </c>
      <c r="T35" s="3">
        <f t="shared" si="3"/>
        <v>15.39054</v>
      </c>
      <c r="U35" s="3"/>
      <c r="V35" s="3"/>
      <c r="W35" s="3"/>
      <c r="X35" s="3"/>
      <c r="Y35" s="3"/>
      <c r="Z35" s="3"/>
    </row>
    <row r="36">
      <c r="A36" s="11" t="s">
        <v>38</v>
      </c>
      <c r="B36" s="3">
        <f t="shared" ref="B36:T36" si="4">0.603*B8</f>
        <v>4.7034</v>
      </c>
      <c r="C36" s="3">
        <f t="shared" si="4"/>
        <v>5.6079</v>
      </c>
      <c r="D36" s="3">
        <f t="shared" si="4"/>
        <v>5.6682</v>
      </c>
      <c r="E36" s="3">
        <f t="shared" si="4"/>
        <v>6.5727</v>
      </c>
      <c r="F36" s="3">
        <f t="shared" si="4"/>
        <v>6.3315</v>
      </c>
      <c r="G36" s="3">
        <f t="shared" si="4"/>
        <v>7.839</v>
      </c>
      <c r="H36" s="3">
        <f t="shared" si="4"/>
        <v>6.9345</v>
      </c>
      <c r="I36" s="3">
        <f t="shared" si="4"/>
        <v>3.4974</v>
      </c>
      <c r="J36" s="3">
        <f t="shared" si="4"/>
        <v>3.3768</v>
      </c>
      <c r="K36" s="3">
        <f t="shared" si="4"/>
        <v>3.4371</v>
      </c>
      <c r="L36" s="3">
        <f t="shared" si="4"/>
        <v>3.4371</v>
      </c>
      <c r="M36" s="3">
        <f t="shared" si="4"/>
        <v>5.9697</v>
      </c>
      <c r="N36" s="3">
        <f t="shared" si="4"/>
        <v>5.9094</v>
      </c>
      <c r="O36" s="3">
        <f t="shared" si="4"/>
        <v>6.4521</v>
      </c>
      <c r="P36" s="3">
        <f t="shared" si="4"/>
        <v>6.6933</v>
      </c>
      <c r="Q36" s="3">
        <f t="shared" si="4"/>
        <v>6.2712</v>
      </c>
      <c r="R36" s="3">
        <f t="shared" si="4"/>
        <v>5.3064</v>
      </c>
      <c r="S36" s="3">
        <f t="shared" si="4"/>
        <v>5.9094</v>
      </c>
      <c r="T36" s="3">
        <f t="shared" si="4"/>
        <v>5.6682</v>
      </c>
      <c r="U36" s="3"/>
      <c r="V36" s="3"/>
      <c r="W36" s="3"/>
      <c r="X36" s="3"/>
      <c r="Y36" s="3"/>
      <c r="Z36" s="3"/>
    </row>
    <row r="37">
      <c r="A37" s="11" t="s">
        <v>39</v>
      </c>
      <c r="B37" s="3">
        <f t="shared" ref="B37:T37" si="5">0.7147*B9</f>
        <v>8.50493</v>
      </c>
      <c r="C37" s="3">
        <f t="shared" si="5"/>
        <v>7.64729</v>
      </c>
      <c r="D37" s="3">
        <f t="shared" si="5"/>
        <v>7.64729</v>
      </c>
      <c r="E37" s="3">
        <f t="shared" si="5"/>
        <v>7.43288</v>
      </c>
      <c r="F37" s="3">
        <f t="shared" si="5"/>
        <v>8.29052</v>
      </c>
      <c r="G37" s="3">
        <f t="shared" si="5"/>
        <v>7.36141</v>
      </c>
      <c r="H37" s="3">
        <f t="shared" si="5"/>
        <v>7.71876</v>
      </c>
      <c r="I37" s="3">
        <f t="shared" si="5"/>
        <v>11.29226</v>
      </c>
      <c r="J37" s="3">
        <f t="shared" si="5"/>
        <v>11.22079</v>
      </c>
      <c r="K37" s="3">
        <f t="shared" si="5"/>
        <v>11.14932</v>
      </c>
      <c r="L37" s="3">
        <f t="shared" si="5"/>
        <v>11.22079</v>
      </c>
      <c r="M37" s="3">
        <f t="shared" si="5"/>
        <v>7.79023</v>
      </c>
      <c r="N37" s="3">
        <f t="shared" si="5"/>
        <v>9.14816</v>
      </c>
      <c r="O37" s="3">
        <f t="shared" si="5"/>
        <v>8.662164</v>
      </c>
      <c r="P37" s="3">
        <f t="shared" si="5"/>
        <v>8.07611</v>
      </c>
      <c r="Q37" s="3">
        <f t="shared" si="5"/>
        <v>8.43346</v>
      </c>
      <c r="R37" s="3">
        <f t="shared" si="5"/>
        <v>8.93375</v>
      </c>
      <c r="S37" s="3">
        <f t="shared" si="5"/>
        <v>10.79197</v>
      </c>
      <c r="T37" s="3">
        <f t="shared" si="5"/>
        <v>8.79081</v>
      </c>
      <c r="U37" s="3"/>
      <c r="V37" s="3"/>
      <c r="W37" s="3"/>
      <c r="X37" s="3"/>
      <c r="Y37" s="3"/>
      <c r="Z37" s="3"/>
    </row>
    <row r="38">
      <c r="A38" s="12" t="s">
        <v>32</v>
      </c>
      <c r="B38" s="3">
        <f t="shared" ref="B38:T38" si="6">0.4674*B2</f>
        <v>19.72428</v>
      </c>
      <c r="C38" s="3">
        <f t="shared" si="6"/>
        <v>21.64062</v>
      </c>
      <c r="D38" s="3">
        <f t="shared" si="6"/>
        <v>22.48194</v>
      </c>
      <c r="E38" s="3">
        <f t="shared" si="6"/>
        <v>21.82758</v>
      </c>
      <c r="F38" s="3">
        <f t="shared" si="6"/>
        <v>21.78084</v>
      </c>
      <c r="G38" s="3">
        <f t="shared" si="6"/>
        <v>22.01454</v>
      </c>
      <c r="H38" s="3">
        <f t="shared" si="6"/>
        <v>21.87432</v>
      </c>
      <c r="I38" s="3">
        <f t="shared" si="6"/>
        <v>21.033</v>
      </c>
      <c r="J38" s="3">
        <f t="shared" si="6"/>
        <v>20.98626</v>
      </c>
      <c r="K38" s="3">
        <f t="shared" si="6"/>
        <v>21.07974</v>
      </c>
      <c r="L38" s="3">
        <f t="shared" si="6"/>
        <v>21.033</v>
      </c>
      <c r="M38" s="3">
        <f t="shared" si="6"/>
        <v>18.97644</v>
      </c>
      <c r="N38" s="3">
        <f t="shared" si="6"/>
        <v>21.07974</v>
      </c>
      <c r="O38" s="3">
        <f t="shared" si="6"/>
        <v>20.3319</v>
      </c>
      <c r="P38" s="3">
        <f t="shared" si="6"/>
        <v>20.42538</v>
      </c>
      <c r="Q38" s="3">
        <f t="shared" si="6"/>
        <v>20.19168</v>
      </c>
      <c r="R38" s="3">
        <f t="shared" si="6"/>
        <v>19.49058</v>
      </c>
      <c r="S38" s="3">
        <f t="shared" si="6"/>
        <v>21.07974</v>
      </c>
      <c r="T38" s="3">
        <f t="shared" si="6"/>
        <v>20.51886</v>
      </c>
      <c r="U38" s="3"/>
      <c r="V38" s="3"/>
      <c r="W38" s="3"/>
      <c r="X38" s="3"/>
      <c r="Y38" s="3"/>
      <c r="Z38" s="3"/>
    </row>
    <row r="39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1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" t="s">
        <v>43</v>
      </c>
      <c r="B41" s="2">
        <v>11.0</v>
      </c>
      <c r="C41" s="2">
        <v>12.0</v>
      </c>
      <c r="D41" s="2">
        <v>14.0</v>
      </c>
      <c r="E41" s="2" t="s">
        <v>1</v>
      </c>
      <c r="F41" s="2" t="s">
        <v>2</v>
      </c>
      <c r="G41" s="2" t="s">
        <v>3</v>
      </c>
      <c r="H41" s="2">
        <v>15.0</v>
      </c>
      <c r="I41" s="2" t="s">
        <v>4</v>
      </c>
      <c r="J41" s="2" t="s">
        <v>5</v>
      </c>
      <c r="K41" s="2" t="s">
        <v>6</v>
      </c>
      <c r="L41" s="2">
        <v>16.0</v>
      </c>
      <c r="M41" s="2" t="s">
        <v>7</v>
      </c>
      <c r="N41" s="2" t="s">
        <v>8</v>
      </c>
      <c r="O41" s="2" t="s">
        <v>9</v>
      </c>
      <c r="P41" s="2" t="s">
        <v>10</v>
      </c>
      <c r="Q41" s="2">
        <v>17.0</v>
      </c>
      <c r="R41" s="2" t="s">
        <v>11</v>
      </c>
      <c r="S41" s="2" t="s">
        <v>12</v>
      </c>
      <c r="T41" s="2" t="s">
        <v>13</v>
      </c>
      <c r="U41" s="3"/>
      <c r="V41" s="3"/>
      <c r="W41" s="3"/>
      <c r="X41" s="3"/>
      <c r="Y41" s="3"/>
      <c r="Z41" s="3"/>
    </row>
    <row r="42">
      <c r="A42" s="11" t="s">
        <v>44</v>
      </c>
      <c r="B42" s="3">
        <f>B33/(B38)</f>
        <v>0.2370337472</v>
      </c>
      <c r="C42" s="3">
        <f>C33/($C$38)</f>
        <v>0.08309373761</v>
      </c>
      <c r="D42" s="3">
        <f>D33/($D$38)</f>
        <v>0.04532438037</v>
      </c>
      <c r="E42" s="3">
        <f t="shared" ref="E42:T42" si="7">E33/(E38)</f>
        <v>0.04668314124</v>
      </c>
      <c r="F42" s="3">
        <f t="shared" si="7"/>
        <v>0.03852743971</v>
      </c>
      <c r="G42" s="3">
        <f t="shared" si="7"/>
        <v>0.02722745967</v>
      </c>
      <c r="H42" s="3">
        <f t="shared" si="7"/>
        <v>0.03836279253</v>
      </c>
      <c r="I42" s="3">
        <f t="shared" si="7"/>
        <v>0.01595892169</v>
      </c>
      <c r="J42" s="3">
        <f t="shared" si="7"/>
        <v>0.01342392594</v>
      </c>
      <c r="K42" s="3">
        <f t="shared" si="7"/>
        <v>0.01706093149</v>
      </c>
      <c r="L42" s="3">
        <f t="shared" si="7"/>
        <v>0.01538896021</v>
      </c>
      <c r="M42" s="3">
        <f t="shared" si="7"/>
        <v>0.2653269001</v>
      </c>
      <c r="N42" s="3">
        <f t="shared" si="7"/>
        <v>0.04833930589</v>
      </c>
      <c r="O42" s="3">
        <f t="shared" si="7"/>
        <v>0.1002346067</v>
      </c>
      <c r="P42" s="3">
        <f t="shared" si="7"/>
        <v>0.1027104514</v>
      </c>
      <c r="Q42" s="3">
        <f t="shared" si="7"/>
        <v>0.1246790757</v>
      </c>
      <c r="R42" s="3">
        <f t="shared" si="7"/>
        <v>0.1045612804</v>
      </c>
      <c r="S42" s="3">
        <f t="shared" si="7"/>
        <v>0.0156391872</v>
      </c>
      <c r="T42" s="3">
        <f t="shared" si="7"/>
        <v>0.03797579398</v>
      </c>
      <c r="U42" s="3"/>
      <c r="V42" s="3"/>
      <c r="W42" s="3"/>
      <c r="X42" s="3"/>
      <c r="Y42" s="3"/>
      <c r="Z42" s="3"/>
    </row>
    <row r="43">
      <c r="A43" s="11" t="s">
        <v>45</v>
      </c>
      <c r="B43" s="3">
        <f t="shared" ref="B43:T43" si="8">B34/(B$38)</f>
        <v>0.3649552734</v>
      </c>
      <c r="C43" s="3">
        <f t="shared" si="8"/>
        <v>0.3155163761</v>
      </c>
      <c r="D43" s="3">
        <f t="shared" si="8"/>
        <v>0.4096541491</v>
      </c>
      <c r="E43" s="3">
        <f t="shared" si="8"/>
        <v>0.3200886218</v>
      </c>
      <c r="F43" s="3">
        <f t="shared" si="8"/>
        <v>0.415550089</v>
      </c>
      <c r="G43" s="3">
        <f t="shared" si="8"/>
        <v>0.3221788872</v>
      </c>
      <c r="H43" s="3">
        <f t="shared" si="8"/>
        <v>0.3532809248</v>
      </c>
      <c r="I43" s="3">
        <f t="shared" si="8"/>
        <v>0.6819773689</v>
      </c>
      <c r="J43" s="3">
        <f t="shared" si="8"/>
        <v>0.7061953869</v>
      </c>
      <c r="K43" s="3">
        <f t="shared" si="8"/>
        <v>0.6729323986</v>
      </c>
      <c r="L43" s="3">
        <f t="shared" si="8"/>
        <v>0.6870104122</v>
      </c>
      <c r="M43" s="3">
        <f t="shared" si="8"/>
        <v>0.334709777</v>
      </c>
      <c r="N43" s="3">
        <f t="shared" si="8"/>
        <v>0.5197649497</v>
      </c>
      <c r="O43" s="3">
        <f t="shared" si="8"/>
        <v>0.4685936878</v>
      </c>
      <c r="P43" s="3">
        <f t="shared" si="8"/>
        <v>0.4509007911</v>
      </c>
      <c r="Q43" s="3">
        <f t="shared" si="8"/>
        <v>0.4482554201</v>
      </c>
      <c r="R43" s="3">
        <f t="shared" si="8"/>
        <v>0.4154976404</v>
      </c>
      <c r="S43" s="3">
        <f t="shared" si="8"/>
        <v>0.5599400182</v>
      </c>
      <c r="T43" s="3">
        <f t="shared" si="8"/>
        <v>0.322447251</v>
      </c>
      <c r="U43" s="3"/>
      <c r="V43" s="3"/>
      <c r="W43" s="3"/>
      <c r="X43" s="3"/>
      <c r="Y43" s="3"/>
      <c r="Z43" s="3"/>
    </row>
    <row r="44">
      <c r="A44" s="11" t="s">
        <v>46</v>
      </c>
      <c r="B44" s="3">
        <f t="shared" ref="B44:T44" si="9">B35/(B$38)</f>
        <v>0.6029467235</v>
      </c>
      <c r="C44" s="3">
        <f t="shared" si="9"/>
        <v>0.5423703203</v>
      </c>
      <c r="D44" s="3">
        <f t="shared" si="9"/>
        <v>0.3595739514</v>
      </c>
      <c r="E44" s="3">
        <f t="shared" si="9"/>
        <v>0.5804578428</v>
      </c>
      <c r="F44" s="3">
        <f t="shared" si="9"/>
        <v>0.4175417477</v>
      </c>
      <c r="G44" s="3">
        <f t="shared" si="9"/>
        <v>0.526096389</v>
      </c>
      <c r="H44" s="3">
        <f t="shared" si="9"/>
        <v>0.5081479104</v>
      </c>
      <c r="I44" s="3">
        <f t="shared" si="9"/>
        <v>0.1921723007</v>
      </c>
      <c r="J44" s="3">
        <f t="shared" si="9"/>
        <v>0.1740810416</v>
      </c>
      <c r="K44" s="3">
        <f t="shared" si="9"/>
        <v>0.1991210518</v>
      </c>
      <c r="L44" s="3">
        <f t="shared" si="9"/>
        <v>0.1884766795</v>
      </c>
      <c r="M44" s="3">
        <f t="shared" si="9"/>
        <v>0.6840540165</v>
      </c>
      <c r="N44" s="3">
        <f t="shared" si="9"/>
        <v>0.3244935659</v>
      </c>
      <c r="O44" s="3">
        <f t="shared" si="9"/>
        <v>0.4167131454</v>
      </c>
      <c r="P44" s="3">
        <f t="shared" si="9"/>
        <v>0.4642782656</v>
      </c>
      <c r="Q44" s="3">
        <f t="shared" si="9"/>
        <v>0.4696518566</v>
      </c>
      <c r="R44" s="3">
        <f t="shared" si="9"/>
        <v>0.6660094261</v>
      </c>
      <c r="S44" s="3">
        <f t="shared" si="9"/>
        <v>0.2581198819</v>
      </c>
      <c r="T44" s="3">
        <f t="shared" si="9"/>
        <v>0.7500679862</v>
      </c>
      <c r="U44" s="3"/>
      <c r="V44" s="3"/>
      <c r="W44" s="3"/>
      <c r="X44" s="3"/>
      <c r="Y44" s="3"/>
      <c r="Z44" s="3"/>
    </row>
    <row r="45">
      <c r="A45" s="11" t="s">
        <v>47</v>
      </c>
      <c r="B45" s="3">
        <f t="shared" ref="B45:T45" si="10">B36/(B$38)</f>
        <v>0.2384573733</v>
      </c>
      <c r="C45" s="3">
        <f t="shared" si="10"/>
        <v>0.2591376772</v>
      </c>
      <c r="D45" s="3">
        <f t="shared" si="10"/>
        <v>0.2521223702</v>
      </c>
      <c r="E45" s="3">
        <f t="shared" si="10"/>
        <v>0.301119043</v>
      </c>
      <c r="F45" s="3">
        <f t="shared" si="10"/>
        <v>0.2906912681</v>
      </c>
      <c r="G45" s="3">
        <f t="shared" si="10"/>
        <v>0.3560828434</v>
      </c>
      <c r="H45" s="3">
        <f t="shared" si="10"/>
        <v>0.3170155689</v>
      </c>
      <c r="I45" s="3">
        <f t="shared" si="10"/>
        <v>0.1662815576</v>
      </c>
      <c r="J45" s="3">
        <f t="shared" si="10"/>
        <v>0.160905278</v>
      </c>
      <c r="K45" s="3">
        <f t="shared" si="10"/>
        <v>0.1630522957</v>
      </c>
      <c r="L45" s="3">
        <f t="shared" si="10"/>
        <v>0.1634146341</v>
      </c>
      <c r="M45" s="3">
        <f t="shared" si="10"/>
        <v>0.314584822</v>
      </c>
      <c r="N45" s="3">
        <f t="shared" si="10"/>
        <v>0.280335526</v>
      </c>
      <c r="O45" s="3">
        <f t="shared" si="10"/>
        <v>0.3173387632</v>
      </c>
      <c r="P45" s="3">
        <f t="shared" si="10"/>
        <v>0.3276952497</v>
      </c>
      <c r="Q45" s="3">
        <f t="shared" si="10"/>
        <v>0.310583369</v>
      </c>
      <c r="R45" s="3">
        <f t="shared" si="10"/>
        <v>0.2722545968</v>
      </c>
      <c r="S45" s="3">
        <f t="shared" si="10"/>
        <v>0.280335526</v>
      </c>
      <c r="T45" s="3">
        <f t="shared" si="10"/>
        <v>0.276243417</v>
      </c>
      <c r="U45" s="3"/>
      <c r="V45" s="3"/>
      <c r="W45" s="3"/>
      <c r="X45" s="3"/>
      <c r="Y45" s="3"/>
      <c r="Z45" s="3"/>
    </row>
    <row r="46">
      <c r="A46" s="11" t="s">
        <v>48</v>
      </c>
      <c r="B46" s="3">
        <f t="shared" ref="B46:T46" si="11">B37/(B$38)</f>
        <v>0.4311908977</v>
      </c>
      <c r="C46" s="3">
        <f t="shared" si="11"/>
        <v>0.3533766593</v>
      </c>
      <c r="D46" s="3">
        <f t="shared" si="11"/>
        <v>0.3401525847</v>
      </c>
      <c r="E46" s="3">
        <f t="shared" si="11"/>
        <v>0.3405269847</v>
      </c>
      <c r="F46" s="3">
        <f t="shared" si="11"/>
        <v>0.3806336211</v>
      </c>
      <c r="G46" s="3">
        <f t="shared" si="11"/>
        <v>0.334388545</v>
      </c>
      <c r="H46" s="3">
        <f t="shared" si="11"/>
        <v>0.3528685692</v>
      </c>
      <c r="I46" s="3">
        <f t="shared" si="11"/>
        <v>0.5368829934</v>
      </c>
      <c r="J46" s="3">
        <f t="shared" si="11"/>
        <v>0.5346731623</v>
      </c>
      <c r="K46" s="3">
        <f t="shared" si="11"/>
        <v>0.5289116469</v>
      </c>
      <c r="L46" s="3">
        <f t="shared" si="11"/>
        <v>0.5334849998</v>
      </c>
      <c r="M46" s="3">
        <f t="shared" si="11"/>
        <v>0.4105211515</v>
      </c>
      <c r="N46" s="3">
        <f t="shared" si="11"/>
        <v>0.4339787872</v>
      </c>
      <c r="O46" s="3">
        <f t="shared" si="11"/>
        <v>0.4260380978</v>
      </c>
      <c r="P46" s="3">
        <f t="shared" si="11"/>
        <v>0.3953958262</v>
      </c>
      <c r="Q46" s="3">
        <f t="shared" si="11"/>
        <v>0.4176700502</v>
      </c>
      <c r="R46" s="3">
        <f t="shared" si="11"/>
        <v>0.45836245</v>
      </c>
      <c r="S46" s="3">
        <f t="shared" si="11"/>
        <v>0.5119593505</v>
      </c>
      <c r="T46" s="3">
        <f t="shared" si="11"/>
        <v>0.4284258482</v>
      </c>
      <c r="U46" s="3"/>
      <c r="V46" s="3"/>
      <c r="W46" s="3"/>
      <c r="X46" s="3"/>
      <c r="Y46" s="3"/>
      <c r="Z46" s="3"/>
    </row>
    <row r="47">
      <c r="A47" s="1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